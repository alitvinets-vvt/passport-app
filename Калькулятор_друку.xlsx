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озрахунок" sheetId="1" state="visible" r:id="rId3"/>
    <sheet name="Параметри" sheetId="2" state="visible" r:id="rId4"/>
    <sheet name="Інструкці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<sst xmlns="http://schemas.openxmlformats.org/spreadsheetml/2006/main" count="95" uniqueCount="86">
  <si>
    <t xml:space="preserve">КАЛЬКУЛЯТОР ДРУКУ</t>
  </si>
  <si>
    <t xml:space="preserve">Частина собівартості: друк за одиницю = блок + обкладинка + зріз.</t>
  </si>
  <si>
    <t xml:space="preserve">Вхідні дані (заповнює оператор)</t>
  </si>
  <si>
    <t xml:space="preserve">Формат</t>
  </si>
  <si>
    <t xml:space="preserve">84х108/32</t>
  </si>
  <si>
    <t xml:space="preserve">Перекладна книга?</t>
  </si>
  <si>
    <t xml:space="preserve">ні</t>
  </si>
  <si>
    <t xml:space="preserve">Кількість знаків (оригіналу)</t>
  </si>
  <si>
    <t xml:space="preserve">Колірність блоку</t>
  </si>
  <si>
    <t xml:space="preserve">1+1 (ч/б)</t>
  </si>
  <si>
    <t xml:space="preserve">Ефекти обкладинки</t>
  </si>
  <si>
    <t xml:space="preserve">Норма</t>
  </si>
  <si>
    <t xml:space="preserve">Кольоровий зріз?</t>
  </si>
  <si>
    <t xml:space="preserve">Наклад</t>
  </si>
  <si>
    <t xml:space="preserve">Проміжні величини</t>
  </si>
  <si>
    <t xml:space="preserve">Знаки з коеф. перекладу</t>
  </si>
  <si>
    <t xml:space="preserve">Знаків на сторінку (формат)</t>
  </si>
  <si>
    <t xml:space="preserve">Сторінок (розрахунок)</t>
  </si>
  <si>
    <t xml:space="preserve">Сторінок із зазором</t>
  </si>
  <si>
    <t xml:space="preserve">Зошит, стор (формат)</t>
  </si>
  <si>
    <t xml:space="preserve">Зошитів (округл. вгору)</t>
  </si>
  <si>
    <t xml:space="preserve">Сторінок друку (кратно зошиту)</t>
  </si>
  <si>
    <t xml:space="preserve">Тир / смуга</t>
  </si>
  <si>
    <t xml:space="preserve">Коефіцієнт k</t>
  </si>
  <si>
    <t xml:space="preserve">Множник колірності</t>
  </si>
  <si>
    <t xml:space="preserve">Складові друку за одиницю, грн</t>
  </si>
  <si>
    <t xml:space="preserve">Блок</t>
  </si>
  <si>
    <t xml:space="preserve">Обкладинка</t>
  </si>
  <si>
    <t xml:space="preserve">Кольоровий зріз</t>
  </si>
  <si>
    <t xml:space="preserve">ДРУК ЗА ОДИНИЦЮ</t>
  </si>
  <si>
    <t xml:space="preserve">Друк на весь наклад</t>
  </si>
  <si>
    <t xml:space="preserve">ПАРАМЕТРИ ДРУКУ</t>
  </si>
  <si>
    <t xml:space="preserve">Жовті клітинки заповнює виробництво. Значення — базовий тир T3 (наклад 3000–7000).</t>
  </si>
  <si>
    <t xml:space="preserve">1. За форматом</t>
  </si>
  <si>
    <t xml:space="preserve">Знаків/стор</t>
  </si>
  <si>
    <t xml:space="preserve">Зошит, стор</t>
  </si>
  <si>
    <t xml:space="preserve">Ціна зошита (T3), грн</t>
  </si>
  <si>
    <t xml:space="preserve">Ціна зрізу, грн</t>
  </si>
  <si>
    <t xml:space="preserve">60х84/16</t>
  </si>
  <si>
    <t xml:space="preserve">70х100/16</t>
  </si>
  <si>
    <t xml:space="preserve">2. Обкладинка — ціна за одиницю (T3), грн</t>
  </si>
  <si>
    <t xml:space="preserve">Бонус</t>
  </si>
  <si>
    <t xml:space="preserve">Преміум</t>
  </si>
  <si>
    <t xml:space="preserve">3. Тири накладу (коефіцієнт k)</t>
  </si>
  <si>
    <t xml:space="preserve">Тир</t>
  </si>
  <si>
    <t xml:space="preserve">Нижня межа</t>
  </si>
  <si>
    <t xml:space="preserve">Смуга</t>
  </si>
  <si>
    <t xml:space="preserve">k</t>
  </si>
  <si>
    <t xml:space="preserve">T1</t>
  </si>
  <si>
    <t xml:space="preserve">до 2000</t>
  </si>
  <si>
    <t xml:space="preserve">T2</t>
  </si>
  <si>
    <t xml:space="preserve">2000–3000</t>
  </si>
  <si>
    <t xml:space="preserve">T3</t>
  </si>
  <si>
    <t xml:space="preserve">3000–5000 (база)</t>
  </si>
  <si>
    <t xml:space="preserve">T4</t>
  </si>
  <si>
    <t xml:space="preserve">5000–7000</t>
  </si>
  <si>
    <t xml:space="preserve">T5</t>
  </si>
  <si>
    <t xml:space="preserve">понад 7000</t>
  </si>
  <si>
    <t xml:space="preserve">4. Інші коефіцієнти</t>
  </si>
  <si>
    <t xml:space="preserve">Зазор сторінковості (для верстальника)</t>
  </si>
  <si>
    <t xml:space="preserve">Коеф. перекладу (× знаки)</t>
  </si>
  <si>
    <t xml:space="preserve">Множник блоку 4+4 (повний колір)</t>
  </si>
  <si>
    <t xml:space="preserve">ЯК КОРИСТУВАТИСЯ</t>
  </si>
  <si>
    <t xml:space="preserve">Аркуш «Параметри»</t>
  </si>
  <si>
    <t xml:space="preserve">Заповнює виробництво — лише ЖОВТІ клітинки (сині цифри):</t>
  </si>
  <si>
    <t xml:space="preserve">• Ціна зошита (T3) — по кожному формату</t>
  </si>
  <si>
    <t xml:space="preserve">• Ціна обкладинки (T3) — формат × ефект (9 клітинок)</t>
  </si>
  <si>
    <t xml:space="preserve">• Ціна кольорового зрізу — по кожному формату</t>
  </si>
  <si>
    <t xml:space="preserve">• Множник блоку 4+4 — на скільки друк повноколірного блоку дорожчий за ч/б</t>
  </si>
  <si>
    <t xml:space="preserve">Зараз у жовтих клітинках стоять ЗРАЗКОВІ числа — замініть на власні.</t>
  </si>
  <si>
    <t xml:space="preserve">Аркуш «Розрахунок»</t>
  </si>
  <si>
    <t xml:space="preserve">Оператор вводить СИНІ клітинки: формат, наклад, знаки, колірність, ефекти, зріз.</t>
  </si>
  <si>
    <t xml:space="preserve">Друк за одиницю рахується автоматично (зелені клітинки).</t>
  </si>
  <si>
    <t xml:space="preserve">1+1 (ч/б) — множник 1,00. 4+4 (повний колір) — множник із «Параметри» B27.</t>
  </si>
  <si>
    <t xml:space="preserve">Множник застосовується до ВСЬОГО блоку (для повноколірних видань).</t>
  </si>
  <si>
    <t xml:space="preserve">У множник 4+4 закладено й дорожчий папір (крейда) — окремо не рахуємо.</t>
  </si>
  <si>
    <t xml:space="preserve">Логіка друку</t>
  </si>
  <si>
    <t xml:space="preserve">Блок і обкладинка масштабуються від накладу через k (тир); зріз — ні.</t>
  </si>
  <si>
    <t xml:space="preserve">Блок рахується ЗОШИТАМИ: /32 для 84х108/32, /16 для решти; округлення вгору.</t>
  </si>
  <si>
    <t xml:space="preserve">База в «Параметри» — тир T3; краї рахуються множенням на k.</t>
  </si>
  <si>
    <t xml:space="preserve">Зазор сторінковості</t>
  </si>
  <si>
    <t xml:space="preserve">+15% до розрахункових сторінок (параметр B25). Страхує від заниження.</t>
  </si>
  <si>
    <t xml:space="preserve">Якщо плануєте по середньому без запасу — поставте 0%.</t>
  </si>
  <si>
    <t xml:space="preserve">Google Sheets</t>
  </si>
  <si>
    <t xml:space="preserve">Після вивантаження перевірте випадні списки (формат/колірність/ефекти/так-ні).</t>
  </si>
  <si>
    <t xml:space="preserve">Якщо не перенеслися — Дані ▸ Перевірка даних, список зі значень.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</si>
</sst>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0.000"/>
    <numFmt numFmtId="168" formatCode="#,##0.00"/>
    <numFmt numFmtId="169" formatCode="0%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F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2F5496"/>
        <bgColor rgb="FF666699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6" t="n">
        <v>700000</v>
      </c>
    </row>
    <row r="8" customFormat="false" ht="1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6</v>
      </c>
    </row>
    <row r="11" customFormat="false" ht="15" hidden="false" customHeight="false" outlineLevel="0" collapsed="false">
      <c r="A11" s="4" t="s">
        <v>13</v>
      </c>
      <c r="B11" s="6" t="n">
        <v>3100</v>
      </c>
    </row>
    <row r="13" customFormat="false" ht="15" hidden="false" customHeight="false" outlineLevel="0" collapsed="false">
      <c r="A13" s="3" t="s">
        <v>14</v>
      </c>
    </row>
    <row r="14" customFormat="false" ht="15" hidden="false" customHeight="false" outlineLevel="0" collapsed="false">
      <c r="A14" s="4" t="s">
        <v>15</v>
      </c>
      <c r="B14" s="7" t="n">
        <f aca="false">B7*IF(B6="так",Параметри!$B$26,1)</f>
        <v>700000</v>
      </c>
    </row>
    <row r="15" customFormat="false" ht="15" hidden="false" customHeight="false" outlineLevel="0" collapsed="false">
      <c r="A15" s="4" t="s">
        <v>16</v>
      </c>
      <c r="B15" s="7" t="n">
        <f aca="false">INDEX(Параметри!$B$6:$B$8,MATCH(B5,Параметри!$A$6:$A$8,0))</f>
        <v>1290</v>
      </c>
    </row>
    <row r="16" customFormat="false" ht="15" hidden="false" customHeight="false" outlineLevel="0" collapsed="false">
      <c r="A16" s="4" t="s">
        <v>17</v>
      </c>
      <c r="B16" s="8" t="n">
        <f aca="false">B14/B15</f>
        <v>542.635658914729</v>
      </c>
    </row>
    <row r="17" customFormat="false" ht="15" hidden="false" customHeight="false" outlineLevel="0" collapsed="false">
      <c r="A17" s="4" t="s">
        <v>18</v>
      </c>
      <c r="B17" s="8" t="n">
        <f aca="false">B16*(1+Параметри!$B$25)</f>
        <v>624.031007751938</v>
      </c>
    </row>
    <row r="18" customFormat="false" ht="15" hidden="false" customHeight="false" outlineLevel="0" collapsed="false">
      <c r="A18" s="4" t="s">
        <v>19</v>
      </c>
      <c r="B18" s="7" t="n">
        <f aca="false">INDEX(Параметри!$C$6:$C$8,MATCH(B5,Параметри!$A$6:$A$8,0))</f>
        <v>32</v>
      </c>
    </row>
    <row r="19" customFormat="false" ht="15" hidden="false" customHeight="false" outlineLevel="0" collapsed="false">
      <c r="A19" s="4" t="s">
        <v>20</v>
      </c>
      <c r="B19" s="7" t="n">
        <f aca="false">ROUNDUP(B17/B18,0)</f>
        <v>20</v>
      </c>
    </row>
    <row r="20" customFormat="false" ht="15" hidden="false" customHeight="false" outlineLevel="0" collapsed="false">
      <c r="A20" s="4" t="s">
        <v>21</v>
      </c>
      <c r="B20" s="7" t="n">
        <f aca="false">B19*B18</f>
        <v>640</v>
      </c>
    </row>
    <row r="21" customFormat="false" ht="15" hidden="false" customHeight="false" outlineLevel="0" collapsed="false">
      <c r="A21" s="4" t="s">
        <v>22</v>
      </c>
      <c r="B21" s="9" t="str">
        <f aca="false">INDEX(Параметри!$C$18:$C$22,MATCH(B11,Параметри!$B$18:$B$22,1))</f>
        <v>3000–5000 (база)</v>
      </c>
    </row>
    <row r="22" customFormat="false" ht="15" hidden="false" customHeight="false" outlineLevel="0" collapsed="false">
      <c r="A22" s="4" t="s">
        <v>23</v>
      </c>
      <c r="B22" s="10" t="n">
        <f aca="false">INDEX(Параметри!$D$18:$D$22,MATCH(B11,Параметри!$B$18:$B$22,1))</f>
        <v>1</v>
      </c>
    </row>
    <row r="23" customFormat="false" ht="15" hidden="false" customHeight="false" outlineLevel="0" collapsed="false">
      <c r="A23" s="4" t="s">
        <v>24</v>
      </c>
      <c r="B23" s="10" t="n">
        <f aca="false">IF(B8="4+4 (повний колір)",Параметри!$B$27,1)</f>
        <v>1</v>
      </c>
    </row>
    <row r="25" customFormat="false" ht="15" hidden="false" customHeight="false" outlineLevel="0" collapsed="false">
      <c r="A25" s="3" t="s">
        <v>25</v>
      </c>
    </row>
    <row r="26" customFormat="false" ht="15" hidden="false" customHeight="false" outlineLevel="0" collapsed="false">
      <c r="A26" s="4" t="s">
        <v>26</v>
      </c>
      <c r="B26" s="11" t="n">
        <f aca="false">B19*INDEX(Параметри!$D$6:$D$8,MATCH(B5,Параметри!$A$6:$A$8,0))*B22*B23</f>
        <v>62</v>
      </c>
    </row>
    <row r="27" customFormat="false" ht="15" hidden="false" customHeight="false" outlineLevel="0" collapsed="false">
      <c r="A27" s="4" t="s">
        <v>27</v>
      </c>
      <c r="B27" s="11" t="n">
        <f aca="false">INDEX(Параметри!$B$12:$D$14,MATCH(B5,Параметри!$A$12:$A$14,0),MATCH(B9,Параметри!$B$11:$D$11,0))*B22</f>
        <v>7</v>
      </c>
    </row>
    <row r="28" customFormat="false" ht="15" hidden="false" customHeight="false" outlineLevel="0" collapsed="false">
      <c r="A28" s="4" t="s">
        <v>28</v>
      </c>
      <c r="B28" s="11" t="n">
        <f aca="false">IF(B10="так",INDEX(Параметри!$E$6:$E$8,MATCH(B5,Параметри!$A$6:$A$8,0)),0)</f>
        <v>0</v>
      </c>
    </row>
    <row r="29" customFormat="false" ht="15" hidden="false" customHeight="false" outlineLevel="0" collapsed="false">
      <c r="A29" s="12" t="s">
        <v>29</v>
      </c>
      <c r="B29" s="13" t="n">
        <f aca="false">B26+B27+B28</f>
        <v>69</v>
      </c>
    </row>
    <row r="30" customFormat="false" ht="15" hidden="false" customHeight="false" outlineLevel="0" collapsed="false">
      <c r="A30" s="12" t="s">
        <v>30</v>
      </c>
      <c r="B30" s="13" t="n">
        <f aca="false">B29*B11</f>
        <v>213900</v>
      </c>
    </row>
  </sheetData>
  <dataValidations count="5">
    <dataValidation allowBlank="false" errorStyle="stop" operator="between" showDropDown="false" showErrorMessage="false" showInputMessage="false" sqref="B5" type="list">
      <formula1>"84х108/32,60х84/16,70х100/16"</formula1>
      <formula2>0</formula2>
    </dataValidation>
    <dataValidation allowBlank="false" errorStyle="stop" operator="between" showDropDown="false" showErrorMessage="false" showInputMessage="false" sqref="B8" type="list">
      <formula1>"1+1 (ч/б),4+4 (повний колір)"</formula1>
      <formula2>0</formula2>
    </dataValidation>
    <dataValidation allowBlank="false" errorStyle="stop" operator="between" showDropDown="false" showErrorMessage="false" showInputMessage="false" sqref="B9" type="list">
      <formula1>"Норма,Бонус,Преміум"</formula1>
      <formula2>0</formula2>
    </dataValidation>
    <dataValidation allowBlank="false" errorStyle="stop" operator="between" showDropDown="false" showErrorMessage="false" showInputMessage="false" sqref="B6" type="list">
      <formula1>"так,ні"</formula1>
      <formula2>0</formula2>
    </dataValidation>
    <dataValidation allowBlank="false" errorStyle="stop" operator="between" showDropDown="false" showErrorMessage="false" showInputMessage="false" sqref="B10" type="list">
      <formula1>"так,ні"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33</v>
      </c>
    </row>
    <row r="5" customFormat="false" ht="15" hidden="false" customHeight="false" outlineLevel="0" collapsed="false">
      <c r="A5" s="14" t="s">
        <v>3</v>
      </c>
      <c r="B5" s="14" t="s">
        <v>34</v>
      </c>
      <c r="C5" s="14" t="s">
        <v>35</v>
      </c>
      <c r="D5" s="14" t="s">
        <v>36</v>
      </c>
      <c r="E5" s="14" t="s">
        <v>37</v>
      </c>
    </row>
    <row r="6" customFormat="false" ht="15" hidden="false" customHeight="false" outlineLevel="0" collapsed="false">
      <c r="A6" s="15" t="s">
        <v>4</v>
      </c>
      <c r="B6" s="7" t="n">
        <v>1290</v>
      </c>
      <c r="C6" s="7" t="n">
        <v>32</v>
      </c>
      <c r="D6" s="16" t="n">
        <v>3.1</v>
      </c>
      <c r="E6" s="16" t="n">
        <v>4</v>
      </c>
    </row>
    <row r="7" customFormat="false" ht="15" hidden="false" customHeight="false" outlineLevel="0" collapsed="false">
      <c r="A7" s="15" t="s">
        <v>38</v>
      </c>
      <c r="B7" s="7" t="n">
        <v>1480</v>
      </c>
      <c r="C7" s="7" t="n">
        <v>16</v>
      </c>
      <c r="D7" s="16" t="n">
        <v>1.9</v>
      </c>
      <c r="E7" s="16" t="n">
        <v>4.5</v>
      </c>
    </row>
    <row r="8" customFormat="false" ht="15" hidden="false" customHeight="false" outlineLevel="0" collapsed="false">
      <c r="A8" s="15" t="s">
        <v>39</v>
      </c>
      <c r="B8" s="7" t="n">
        <v>1920</v>
      </c>
      <c r="C8" s="7" t="n">
        <v>16</v>
      </c>
      <c r="D8" s="16" t="n">
        <v>2.6</v>
      </c>
      <c r="E8" s="16" t="n">
        <v>6</v>
      </c>
    </row>
    <row r="10" customFormat="false" ht="15" hidden="false" customHeight="false" outlineLevel="0" collapsed="false">
      <c r="A10" s="3" t="s">
        <v>40</v>
      </c>
    </row>
    <row r="11" customFormat="false" ht="15" hidden="false" customHeight="false" outlineLevel="0" collapsed="false">
      <c r="A11" s="14" t="s">
        <v>3</v>
      </c>
      <c r="B11" s="14" t="s">
        <v>11</v>
      </c>
      <c r="C11" s="14" t="s">
        <v>41</v>
      </c>
      <c r="D11" s="14" t="s">
        <v>42</v>
      </c>
    </row>
    <row r="12" customFormat="false" ht="15" hidden="false" customHeight="false" outlineLevel="0" collapsed="false">
      <c r="A12" s="15" t="s">
        <v>4</v>
      </c>
      <c r="B12" s="17" t="n">
        <v>7</v>
      </c>
      <c r="C12" s="17" t="n">
        <v>11</v>
      </c>
      <c r="D12" s="17" t="n">
        <v>16</v>
      </c>
    </row>
    <row r="13" customFormat="false" ht="15" hidden="false" customHeight="false" outlineLevel="0" collapsed="false">
      <c r="A13" s="15" t="s">
        <v>38</v>
      </c>
      <c r="B13" s="17" t="n">
        <v>8</v>
      </c>
      <c r="C13" s="17" t="n">
        <v>12</v>
      </c>
      <c r="D13" s="17" t="n">
        <v>18</v>
      </c>
    </row>
    <row r="14" customFormat="false" ht="15" hidden="false" customHeight="false" outlineLevel="0" collapsed="false">
      <c r="A14" s="15" t="s">
        <v>39</v>
      </c>
      <c r="B14" s="17" t="n">
        <v>10</v>
      </c>
      <c r="C14" s="17" t="n">
        <v>15</v>
      </c>
      <c r="D14" s="17" t="n">
        <v>22</v>
      </c>
    </row>
    <row r="16" customFormat="false" ht="15" hidden="false" customHeight="false" outlineLevel="0" collapsed="false">
      <c r="A16" s="3" t="s">
        <v>43</v>
      </c>
    </row>
    <row r="17" customFormat="false" ht="15" hidden="false" customHeight="false" outlineLevel="0" collapsed="false">
      <c r="A17" s="14" t="s">
        <v>44</v>
      </c>
      <c r="B17" s="14" t="s">
        <v>45</v>
      </c>
      <c r="C17" s="14" t="s">
        <v>46</v>
      </c>
      <c r="D17" s="14" t="s">
        <v>47</v>
      </c>
    </row>
    <row r="18" customFormat="false" ht="15" hidden="false" customHeight="false" outlineLevel="0" collapsed="false">
      <c r="A18" s="18" t="s">
        <v>48</v>
      </c>
      <c r="B18" s="7" t="n">
        <v>0</v>
      </c>
      <c r="C18" s="19" t="s">
        <v>49</v>
      </c>
      <c r="D18" s="20" t="n">
        <v>1.237</v>
      </c>
    </row>
    <row r="19" customFormat="false" ht="15" hidden="false" customHeight="false" outlineLevel="0" collapsed="false">
      <c r="A19" s="18" t="s">
        <v>50</v>
      </c>
      <c r="B19" s="7" t="n">
        <v>2000</v>
      </c>
      <c r="C19" s="19" t="s">
        <v>51</v>
      </c>
      <c r="D19" s="20" t="n">
        <v>1.09</v>
      </c>
    </row>
    <row r="20" customFormat="false" ht="15" hidden="false" customHeight="false" outlineLevel="0" collapsed="false">
      <c r="A20" s="18" t="s">
        <v>52</v>
      </c>
      <c r="B20" s="7" t="n">
        <v>3000</v>
      </c>
      <c r="C20" s="19" t="s">
        <v>53</v>
      </c>
      <c r="D20" s="20" t="n">
        <v>1</v>
      </c>
    </row>
    <row r="21" customFormat="false" ht="15" hidden="false" customHeight="false" outlineLevel="0" collapsed="false">
      <c r="A21" s="18" t="s">
        <v>54</v>
      </c>
      <c r="B21" s="7" t="n">
        <v>5000</v>
      </c>
      <c r="C21" s="19" t="s">
        <v>55</v>
      </c>
      <c r="D21" s="20" t="n">
        <v>0.915</v>
      </c>
    </row>
    <row r="22" customFormat="false" ht="15" hidden="false" customHeight="false" outlineLevel="0" collapsed="false">
      <c r="A22" s="18" t="s">
        <v>56</v>
      </c>
      <c r="B22" s="7" t="n">
        <v>7000</v>
      </c>
      <c r="C22" s="19" t="s">
        <v>57</v>
      </c>
      <c r="D22" s="20" t="n">
        <v>0.866</v>
      </c>
    </row>
    <row r="24" customFormat="false" ht="15" hidden="false" customHeight="false" outlineLevel="0" collapsed="false">
      <c r="A24" s="3" t="s">
        <v>58</v>
      </c>
    </row>
    <row r="25" customFormat="false" ht="15" hidden="false" customHeight="false" outlineLevel="0" collapsed="false">
      <c r="A25" s="4" t="s">
        <v>59</v>
      </c>
      <c r="B25" s="21" t="n">
        <v>0.15</v>
      </c>
    </row>
    <row r="26" customFormat="false" ht="15" hidden="false" customHeight="false" outlineLevel="0" collapsed="false">
      <c r="A26" s="4" t="s">
        <v>60</v>
      </c>
      <c r="B26" s="22" t="n">
        <v>1.2</v>
      </c>
    </row>
    <row r="27" customFormat="false" ht="15" hidden="false" customHeight="false" outlineLevel="0" collapsed="false">
      <c r="A27" s="4" t="s">
        <v>61</v>
      </c>
      <c r="B27" s="23" t="n">
        <v>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2"/>
  </cols>
  <sheetData>
    <row r="1" customFormat="false" ht="17.35" hidden="false" customHeight="false" outlineLevel="0" collapsed="false">
      <c r="A1" s="1" t="s">
        <v>62</v>
      </c>
    </row>
    <row r="3" customFormat="false" ht="15" hidden="false" customHeight="false" outlineLevel="0" collapsed="false">
      <c r="A3" s="24" t="s">
        <v>63</v>
      </c>
      <c r="B3" s="25" t="s">
        <v>64</v>
      </c>
    </row>
    <row r="4" customFormat="false" ht="15" hidden="false" customHeight="false" outlineLevel="0" collapsed="false">
      <c r="B4" s="25" t="s">
        <v>65</v>
      </c>
    </row>
    <row r="5" customFormat="false" ht="15" hidden="false" customHeight="false" outlineLevel="0" collapsed="false">
      <c r="B5" s="25" t="s">
        <v>66</v>
      </c>
    </row>
    <row r="6" customFormat="false" ht="15" hidden="false" customHeight="false" outlineLevel="0" collapsed="false">
      <c r="B6" s="25" t="s">
        <v>67</v>
      </c>
    </row>
    <row r="7" customFormat="false" ht="15" hidden="false" customHeight="false" outlineLevel="0" collapsed="false">
      <c r="B7" s="25" t="s">
        <v>68</v>
      </c>
    </row>
    <row r="8" customFormat="false" ht="15" hidden="false" customHeight="false" outlineLevel="0" collapsed="false">
      <c r="B8" s="25" t="s">
        <v>69</v>
      </c>
    </row>
    <row r="10" customFormat="false" ht="15" hidden="false" customHeight="false" outlineLevel="0" collapsed="false">
      <c r="A10" s="24" t="s">
        <v>70</v>
      </c>
      <c r="B10" s="25" t="s">
        <v>71</v>
      </c>
    </row>
    <row r="11" customFormat="false" ht="15" hidden="false" customHeight="false" outlineLevel="0" collapsed="false">
      <c r="B11" s="25" t="s">
        <v>72</v>
      </c>
    </row>
    <row r="13" customFormat="false" ht="15" hidden="false" customHeight="false" outlineLevel="0" collapsed="false">
      <c r="A13" s="24" t="s">
        <v>8</v>
      </c>
      <c r="B13" s="25" t="s">
        <v>73</v>
      </c>
    </row>
    <row r="14" customFormat="false" ht="15" hidden="false" customHeight="false" outlineLevel="0" collapsed="false">
      <c r="B14" s="25" t="s">
        <v>74</v>
      </c>
    </row>
    <row r="15" customFormat="false" ht="15" hidden="false" customHeight="false" outlineLevel="0" collapsed="false">
      <c r="B15" s="25" t="s">
        <v>75</v>
      </c>
    </row>
    <row r="17" customFormat="false" ht="15" hidden="false" customHeight="false" outlineLevel="0" collapsed="false">
      <c r="A17" s="24" t="s">
        <v>76</v>
      </c>
      <c r="B17" s="25" t="s">
        <v>77</v>
      </c>
    </row>
    <row r="18" customFormat="false" ht="15" hidden="false" customHeight="false" outlineLevel="0" collapsed="false">
      <c r="B18" s="25" t="s">
        <v>78</v>
      </c>
    </row>
    <row r="19" customFormat="false" ht="15" hidden="false" customHeight="false" outlineLevel="0" collapsed="false">
      <c r="B19" s="25" t="s">
        <v>79</v>
      </c>
    </row>
    <row r="21" customFormat="false" ht="15" hidden="false" customHeight="false" outlineLevel="0" collapsed="false">
      <c r="A21" s="24" t="s">
        <v>80</v>
      </c>
      <c r="B21" s="25" t="s">
        <v>81</v>
      </c>
    </row>
    <row r="22" customFormat="false" ht="15" hidden="false" customHeight="false" outlineLevel="0" collapsed="false">
      <c r="B22" s="25" t="s">
        <v>82</v>
      </c>
    </row>
    <row r="24" customFormat="false" ht="15" hidden="false" customHeight="false" outlineLevel="0" collapsed="false">
      <c r="A24" s="24" t="s">
        <v>83</v>
      </c>
      <c r="B24" s="25" t="s">
        <v>84</v>
      </c>
    </row>
    <row r="25" customFormat="false" ht="15" hidden="false" customHeight="false" outlineLevel="0" collapsed="false">
      <c r="B25" s="2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2026-09-07T08:44:36Z</dcterms:created>
  <dc:creator>openpyxl</dc:creator>
  <dc:description/>
  <dc:language>en-US</dc:language>
  <cp:lastModifiedBy/>
  <dcterms:modified xsi:type="dcterms:W3CDTF">2026-09-07T08:44:36Z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